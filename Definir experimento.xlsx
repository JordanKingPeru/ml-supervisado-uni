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06Docencia\01Dictado de cursos\08PECD\02Aprendizaje Supervisado\06ML\ml-supervisado-uni\"/>
    </mc:Choice>
  </mc:AlternateContent>
  <xr:revisionPtr revIDLastSave="0" documentId="13_ncr:1_{EDC2C186-7E6D-4941-BC14-267F3F2FC677}" xr6:coauthVersionLast="47" xr6:coauthVersionMax="47" xr10:uidLastSave="{00000000-0000-0000-0000-000000000000}"/>
  <bookViews>
    <workbookView xWindow="-120" yWindow="16080" windowWidth="19440" windowHeight="14880" xr2:uid="{337C9C22-3E5F-4FC9-9455-B210786D96E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2" i="1" l="1"/>
  <c r="AF2" i="1"/>
  <c r="AE2" i="1"/>
  <c r="AD2" i="1"/>
  <c r="AC2" i="1"/>
  <c r="AB2" i="1"/>
  <c r="AA2" i="1"/>
  <c r="Z2" i="1"/>
  <c r="Y2" i="1"/>
  <c r="X2" i="1"/>
  <c r="W2" i="1"/>
  <c r="V2" i="1"/>
  <c r="U2" i="1"/>
  <c r="D7" i="1"/>
  <c r="D6" i="1"/>
  <c r="D5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C47" i="1"/>
  <c r="C40" i="1"/>
  <c r="C33" i="1"/>
  <c r="C17" i="1"/>
  <c r="C16" i="1"/>
  <c r="C6" i="1"/>
  <c r="C18" i="1" s="1"/>
  <c r="C7" i="1" l="1"/>
  <c r="C8" i="1" l="1"/>
  <c r="C19" i="1"/>
  <c r="C9" i="1" l="1"/>
  <c r="C20" i="1"/>
  <c r="C10" i="1" l="1"/>
  <c r="C11" i="1" s="1"/>
  <c r="C12" i="1" s="1"/>
  <c r="C13" i="1" s="1"/>
  <c r="C14" i="1" s="1"/>
  <c r="C15" i="1" s="1"/>
  <c r="C21" i="1"/>
</calcChain>
</file>

<file path=xl/sharedStrings.xml><?xml version="1.0" encoding="utf-8"?>
<sst xmlns="http://schemas.openxmlformats.org/spreadsheetml/2006/main" count="69" uniqueCount="42">
  <si>
    <t xml:space="preserve">18 meses cosecha </t>
  </si>
  <si>
    <t>construcción de variables</t>
  </si>
  <si>
    <t>ejecución del modelo</t>
  </si>
  <si>
    <t>predicción</t>
  </si>
  <si>
    <t xml:space="preserve">16 meses cosecha </t>
  </si>
  <si>
    <t xml:space="preserve">13 meses cosecha </t>
  </si>
  <si>
    <t xml:space="preserve">7 meses cosecha </t>
  </si>
  <si>
    <t>Campaña de marketing: envío de comunicaciones</t>
  </si>
  <si>
    <t>Venta de cursos|créditos|productos</t>
  </si>
  <si>
    <t>Familia de variables</t>
  </si>
  <si>
    <t>- Comportamiento del cliente</t>
  </si>
  <si>
    <t>- Interacción con web</t>
  </si>
  <si>
    <t>- Comportamiento financiero</t>
  </si>
  <si>
    <t>- Stock de clientes</t>
  </si>
  <si>
    <t>- Sociodemográficas</t>
  </si>
  <si>
    <t>Periodo referencia: 2601 (Periodo ejecución, Periodo despliegue, Periodo de duración de la campaña)</t>
  </si>
  <si>
    <t>Periodo update</t>
  </si>
  <si>
    <t>Periodo ejecución modelo: 25-12-24</t>
  </si>
  <si>
    <t>Periodo despliegue: 25-12-29</t>
  </si>
  <si>
    <t>Periodo campaña: 26-01-01</t>
  </si>
  <si>
    <t>t - 2 meses</t>
  </si>
  <si>
    <t>t - 5 días</t>
  </si>
  <si>
    <t>t -1 día</t>
  </si>
  <si>
    <t>t - 30 días</t>
  </si>
  <si>
    <t>t - 10 días</t>
  </si>
  <si>
    <t>- Transaccionales</t>
  </si>
  <si>
    <t>t - 15 días</t>
  </si>
  <si>
    <t>- Central de riesgos (SBS)</t>
  </si>
  <si>
    <t>- Target</t>
  </si>
  <si>
    <t>t + 1 mes</t>
  </si>
  <si>
    <t>sig campaña</t>
  </si>
  <si>
    <t>OOT</t>
  </si>
  <si>
    <t>df validación</t>
  </si>
  <si>
    <t>df entrenamiento</t>
  </si>
  <si>
    <t>df testing</t>
  </si>
  <si>
    <t>nuevos clientes, nuevos segmentos</t>
  </si>
  <si>
    <t>valores atípicos, nulos</t>
  </si>
  <si>
    <t>Hipótesis</t>
  </si>
  <si>
    <t>1: modelar con 6 meses de historia, incluyendo</t>
  </si>
  <si>
    <t>train_test_split</t>
  </si>
  <si>
    <t>Análisis médicos</t>
  </si>
  <si>
    <t>Optimización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</si>
</sst>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5"/>
      <name val="Aptos Narrow"/>
      <family val="2"/>
      <scheme val="minor"/>
    </font>
    <font>
      <sz val="8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7">
    <border>
      <left/>
      <right/>
      <top/>
      <bottom/>
      <diagonal/>
    </border>
    <border>
      <left style="medium">
        <color theme="8"/>
      </left>
      <right/>
      <top style="medium">
        <color theme="8"/>
      </top>
      <bottom/>
      <diagonal/>
    </border>
    <border>
      <left/>
      <right style="medium">
        <color theme="8"/>
      </right>
      <top style="medium">
        <color theme="8"/>
      </top>
      <bottom/>
      <diagonal/>
    </border>
    <border>
      <left style="medium">
        <color theme="8"/>
      </left>
      <right/>
      <top/>
      <bottom/>
      <diagonal/>
    </border>
    <border>
      <left/>
      <right style="medium">
        <color theme="8"/>
      </right>
      <top/>
      <bottom/>
      <diagonal/>
    </border>
    <border>
      <left style="medium">
        <color theme="8"/>
      </left>
      <right/>
      <top/>
      <bottom style="medium">
        <color theme="8"/>
      </bottom>
      <diagonal/>
    </border>
    <border>
      <left/>
      <right style="medium">
        <color theme="8"/>
      </right>
      <top/>
      <bottom style="medium">
        <color theme="8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quotePrefix="1"/>
    <xf numFmtId="0" fontId="1" fillId="0" borderId="0" xfId="0" applyFont="1"/>
    <xf numFmtId="0" fontId="2" fillId="0" borderId="0" xfId="0" applyFont="1"/>
    <xf numFmtId="0" fontId="0" fillId="5" borderId="0" xfId="0" applyFill="1"/>
    <xf numFmtId="0" fontId="0" fillId="8" borderId="0" xfId="0" applyFill="1"/>
    <xf numFmtId="0" fontId="0" fillId="6" borderId="1" xfId="0" applyFill="1" applyBorder="1"/>
    <xf numFmtId="0" fontId="0" fillId="6" borderId="2" xfId="0" applyFill="1" applyBorder="1"/>
    <xf numFmtId="0" fontId="0" fillId="6" borderId="3" xfId="0" applyFill="1" applyBorder="1"/>
    <xf numFmtId="0" fontId="0" fillId="6" borderId="4" xfId="0" applyFill="1" applyBorder="1"/>
    <xf numFmtId="0" fontId="0" fillId="7" borderId="3" xfId="0" applyFill="1" applyBorder="1"/>
    <xf numFmtId="0" fontId="0" fillId="7" borderId="4" xfId="0" applyFill="1" applyBorder="1"/>
    <xf numFmtId="0" fontId="0" fillId="7" borderId="5" xfId="0" applyFill="1" applyBorder="1"/>
    <xf numFmtId="0" fontId="0" fillId="7" borderId="6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D0F36-DD77-4020-A298-9A4AD189F242}">
  <dimension ref="A1:AJ48"/>
  <sheetViews>
    <sheetView tabSelected="1" topLeftCell="B1" zoomScaleNormal="100" workbookViewId="0">
      <selection activeCell="B21" sqref="B3:AH21"/>
    </sheetView>
  </sheetViews>
  <sheetFormatPr baseColWidth="10" defaultRowHeight="14.6" x14ac:dyDescent="0.4"/>
  <cols>
    <col min="1" max="1" width="5.69140625" customWidth="1"/>
    <col min="2" max="2" width="13.61328125" customWidth="1"/>
    <col min="3" max="3" width="5.3828125" customWidth="1"/>
    <col min="4" max="29" width="4.69140625" customWidth="1"/>
    <col min="30" max="33" width="4.61328125" customWidth="1"/>
    <col min="34" max="34" width="5.15234375" customWidth="1"/>
  </cols>
  <sheetData>
    <row r="1" spans="1:36" x14ac:dyDescent="0.4">
      <c r="E1" s="3"/>
      <c r="F1" t="s">
        <v>1</v>
      </c>
      <c r="L1" s="1"/>
      <c r="M1" t="s">
        <v>2</v>
      </c>
      <c r="R1" s="2"/>
      <c r="S1" t="s">
        <v>3</v>
      </c>
      <c r="AJ1" t="s">
        <v>35</v>
      </c>
    </row>
    <row r="2" spans="1:36" x14ac:dyDescent="0.4">
      <c r="U2">
        <f ca="1">RANDBETWEEN(3,4)</f>
        <v>4</v>
      </c>
      <c r="V2">
        <f t="shared" ref="V2:AG2" ca="1" si="0">RANDBETWEEN(3,4)</f>
        <v>4</v>
      </c>
      <c r="W2">
        <f t="shared" ca="1" si="0"/>
        <v>4</v>
      </c>
      <c r="X2">
        <f t="shared" ca="1" si="0"/>
        <v>4</v>
      </c>
      <c r="Y2">
        <f t="shared" ca="1" si="0"/>
        <v>3</v>
      </c>
      <c r="Z2">
        <f t="shared" ca="1" si="0"/>
        <v>4</v>
      </c>
      <c r="AA2">
        <f t="shared" ca="1" si="0"/>
        <v>4</v>
      </c>
      <c r="AB2">
        <f t="shared" ca="1" si="0"/>
        <v>4</v>
      </c>
      <c r="AC2">
        <f t="shared" ca="1" si="0"/>
        <v>3</v>
      </c>
      <c r="AD2">
        <f t="shared" ca="1" si="0"/>
        <v>4</v>
      </c>
      <c r="AE2">
        <f t="shared" ca="1" si="0"/>
        <v>4</v>
      </c>
      <c r="AF2">
        <f t="shared" ca="1" si="0"/>
        <v>4</v>
      </c>
      <c r="AG2">
        <f t="shared" ca="1" si="0"/>
        <v>4</v>
      </c>
      <c r="AH2">
        <v>6</v>
      </c>
      <c r="AJ2" t="s">
        <v>36</v>
      </c>
    </row>
    <row r="3" spans="1:36" x14ac:dyDescent="0.4">
      <c r="D3">
        <v>2307</v>
      </c>
      <c r="E3">
        <v>2308</v>
      </c>
      <c r="F3">
        <v>2309</v>
      </c>
      <c r="G3">
        <v>2310</v>
      </c>
      <c r="H3">
        <v>2311</v>
      </c>
      <c r="I3">
        <v>2312</v>
      </c>
      <c r="J3">
        <v>2401</v>
      </c>
      <c r="K3">
        <v>2402</v>
      </c>
      <c r="L3">
        <v>2403</v>
      </c>
      <c r="M3">
        <v>2404</v>
      </c>
      <c r="N3">
        <v>2405</v>
      </c>
      <c r="O3">
        <v>2406</v>
      </c>
      <c r="P3">
        <v>2407</v>
      </c>
      <c r="Q3">
        <v>2408</v>
      </c>
      <c r="R3">
        <v>2409</v>
      </c>
      <c r="S3">
        <v>2410</v>
      </c>
      <c r="T3">
        <v>2411</v>
      </c>
      <c r="U3">
        <v>2412</v>
      </c>
      <c r="V3">
        <v>2501</v>
      </c>
      <c r="W3">
        <v>2502</v>
      </c>
      <c r="X3">
        <v>2503</v>
      </c>
      <c r="Y3">
        <v>2504</v>
      </c>
      <c r="Z3">
        <v>2505</v>
      </c>
      <c r="AA3">
        <v>2506</v>
      </c>
      <c r="AB3">
        <v>2507</v>
      </c>
      <c r="AC3">
        <v>2508</v>
      </c>
      <c r="AD3">
        <v>2509</v>
      </c>
      <c r="AE3">
        <v>2510</v>
      </c>
      <c r="AF3">
        <v>2511</v>
      </c>
      <c r="AG3">
        <v>2512</v>
      </c>
      <c r="AH3">
        <v>2601</v>
      </c>
    </row>
    <row r="4" spans="1:36" x14ac:dyDescent="0.4">
      <c r="A4" t="s">
        <v>30</v>
      </c>
      <c r="C4">
        <v>2512</v>
      </c>
      <c r="D4">
        <v>50</v>
      </c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1"/>
      <c r="AH4" s="2"/>
    </row>
    <row r="5" spans="1:36" x14ac:dyDescent="0.4">
      <c r="A5" t="s">
        <v>31</v>
      </c>
      <c r="B5" s="8" t="s">
        <v>32</v>
      </c>
      <c r="C5" s="8">
        <v>2511</v>
      </c>
      <c r="D5">
        <f t="shared" ref="D5:D8" ca="1" si="1">+RANDBETWEEN(65,68)</f>
        <v>68</v>
      </c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1"/>
      <c r="AG5" s="2"/>
    </row>
    <row r="6" spans="1:36" x14ac:dyDescent="0.4">
      <c r="A6" t="s">
        <v>31</v>
      </c>
      <c r="B6" s="8" t="s">
        <v>32</v>
      </c>
      <c r="C6" s="8">
        <f>+C5-1</f>
        <v>2510</v>
      </c>
      <c r="D6">
        <f t="shared" ca="1" si="1"/>
        <v>65</v>
      </c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1"/>
      <c r="AF6" s="2"/>
    </row>
    <row r="7" spans="1:36" ht="15" thickBot="1" x14ac:dyDescent="0.45">
      <c r="A7" t="s">
        <v>31</v>
      </c>
      <c r="B7" s="8" t="s">
        <v>32</v>
      </c>
      <c r="C7" s="8">
        <f t="shared" ref="C7:C15" si="2">+C6-1</f>
        <v>2509</v>
      </c>
      <c r="D7">
        <f t="shared" ca="1" si="1"/>
        <v>67</v>
      </c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1"/>
      <c r="AE7" s="2"/>
    </row>
    <row r="8" spans="1:36" x14ac:dyDescent="0.4">
      <c r="B8" s="9" t="s">
        <v>34</v>
      </c>
      <c r="C8" s="10">
        <f t="shared" si="2"/>
        <v>2508</v>
      </c>
      <c r="D8">
        <f ca="1">+RANDBETWEEN(65,68)</f>
        <v>66</v>
      </c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1"/>
      <c r="AD8" s="2"/>
    </row>
    <row r="9" spans="1:36" x14ac:dyDescent="0.4">
      <c r="B9" s="11" t="s">
        <v>34</v>
      </c>
      <c r="C9" s="12">
        <f t="shared" si="2"/>
        <v>2507</v>
      </c>
      <c r="D9">
        <f t="shared" ref="D9:D21" ca="1" si="3">+RANDBETWEEN(65,68)</f>
        <v>67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1"/>
      <c r="AC9" s="2"/>
    </row>
    <row r="10" spans="1:36" x14ac:dyDescent="0.4">
      <c r="B10" s="11" t="s">
        <v>34</v>
      </c>
      <c r="C10" s="12">
        <f t="shared" si="2"/>
        <v>2506</v>
      </c>
      <c r="D10">
        <f t="shared" ca="1" si="3"/>
        <v>66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1"/>
      <c r="AB10" s="2"/>
    </row>
    <row r="11" spans="1:36" x14ac:dyDescent="0.4">
      <c r="B11" s="13" t="s">
        <v>33</v>
      </c>
      <c r="C11" s="14">
        <f t="shared" si="2"/>
        <v>2505</v>
      </c>
      <c r="D11">
        <f t="shared" ca="1" si="3"/>
        <v>66</v>
      </c>
      <c r="E11" t="s">
        <v>39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1"/>
      <c r="AA11" s="2"/>
      <c r="AD11" t="s">
        <v>17</v>
      </c>
    </row>
    <row r="12" spans="1:36" x14ac:dyDescent="0.4">
      <c r="B12" s="13" t="s">
        <v>33</v>
      </c>
      <c r="C12" s="14">
        <f t="shared" si="2"/>
        <v>2504</v>
      </c>
      <c r="D12">
        <f t="shared" ca="1" si="3"/>
        <v>65</v>
      </c>
      <c r="E12" t="s">
        <v>39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1"/>
      <c r="Z12" s="2"/>
      <c r="AD12" t="s">
        <v>18</v>
      </c>
    </row>
    <row r="13" spans="1:36" x14ac:dyDescent="0.4">
      <c r="B13" s="13" t="s">
        <v>33</v>
      </c>
      <c r="C13" s="14">
        <f t="shared" si="2"/>
        <v>2503</v>
      </c>
      <c r="D13">
        <f t="shared" ca="1" si="3"/>
        <v>65</v>
      </c>
      <c r="E13" t="s">
        <v>39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1"/>
      <c r="Y13" s="2"/>
      <c r="AD13" s="7" t="s">
        <v>19</v>
      </c>
      <c r="AE13" s="7"/>
      <c r="AF13" s="7"/>
      <c r="AG13" s="7"/>
      <c r="AH13" s="7"/>
    </row>
    <row r="14" spans="1:36" x14ac:dyDescent="0.4">
      <c r="B14" s="13" t="s">
        <v>33</v>
      </c>
      <c r="C14" s="14">
        <f t="shared" si="2"/>
        <v>2502</v>
      </c>
      <c r="D14">
        <f t="shared" ca="1" si="3"/>
        <v>68</v>
      </c>
      <c r="E14" t="s">
        <v>39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1"/>
      <c r="X14" s="2"/>
    </row>
    <row r="15" spans="1:36" x14ac:dyDescent="0.4">
      <c r="B15" s="13" t="s">
        <v>33</v>
      </c>
      <c r="C15" s="14">
        <f t="shared" si="2"/>
        <v>2501</v>
      </c>
      <c r="D15">
        <f t="shared" ca="1" si="3"/>
        <v>66</v>
      </c>
      <c r="E15" t="s">
        <v>39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1"/>
      <c r="W15" s="2"/>
      <c r="AD15" s="5" t="s">
        <v>7</v>
      </c>
    </row>
    <row r="16" spans="1:36" x14ac:dyDescent="0.4">
      <c r="B16" s="13" t="s">
        <v>33</v>
      </c>
      <c r="C16" s="14">
        <f>+C4-100</f>
        <v>2412</v>
      </c>
      <c r="D16">
        <f t="shared" ca="1" si="3"/>
        <v>67</v>
      </c>
      <c r="E16" t="s">
        <v>39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1"/>
      <c r="V16" s="2"/>
      <c r="AD16" s="5" t="s">
        <v>8</v>
      </c>
    </row>
    <row r="17" spans="2:35" x14ac:dyDescent="0.4">
      <c r="B17" s="13" t="s">
        <v>33</v>
      </c>
      <c r="C17" s="14">
        <f t="shared" ref="C17:C21" si="4">+C5-100</f>
        <v>2411</v>
      </c>
      <c r="D17">
        <f t="shared" ca="1" si="3"/>
        <v>66</v>
      </c>
      <c r="E17" t="s">
        <v>39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1"/>
      <c r="U17" s="2"/>
      <c r="AD17" s="6" t="s">
        <v>15</v>
      </c>
    </row>
    <row r="18" spans="2:35" x14ac:dyDescent="0.4">
      <c r="B18" s="13" t="s">
        <v>33</v>
      </c>
      <c r="C18" s="14">
        <f t="shared" si="4"/>
        <v>2410</v>
      </c>
      <c r="D18">
        <f t="shared" ca="1" si="3"/>
        <v>68</v>
      </c>
      <c r="E18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1"/>
      <c r="T18" s="2"/>
      <c r="AD18" s="5" t="s">
        <v>9</v>
      </c>
      <c r="AI18" s="5" t="s">
        <v>16</v>
      </c>
    </row>
    <row r="19" spans="2:35" x14ac:dyDescent="0.4">
      <c r="B19" s="13" t="s">
        <v>33</v>
      </c>
      <c r="C19" s="14">
        <f t="shared" si="4"/>
        <v>2409</v>
      </c>
      <c r="D19">
        <f t="shared" ca="1" si="3"/>
        <v>67</v>
      </c>
      <c r="E19" t="s">
        <v>39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1"/>
      <c r="S19" s="2"/>
      <c r="AC19">
        <v>2022</v>
      </c>
      <c r="AD19" s="4" t="s">
        <v>14</v>
      </c>
      <c r="AI19" s="4" t="s">
        <v>20</v>
      </c>
    </row>
    <row r="20" spans="2:35" x14ac:dyDescent="0.4">
      <c r="B20" s="13" t="s">
        <v>33</v>
      </c>
      <c r="C20" s="14">
        <f t="shared" si="4"/>
        <v>2408</v>
      </c>
      <c r="D20">
        <f t="shared" ca="1" si="3"/>
        <v>67</v>
      </c>
      <c r="E20" t="s">
        <v>39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1"/>
      <c r="R20" s="2"/>
      <c r="AC20">
        <v>2023</v>
      </c>
      <c r="AD20" s="4" t="s">
        <v>10</v>
      </c>
      <c r="AI20" t="s">
        <v>21</v>
      </c>
    </row>
    <row r="21" spans="2:35" ht="15" thickBot="1" x14ac:dyDescent="0.45">
      <c r="B21" s="15" t="s">
        <v>33</v>
      </c>
      <c r="C21" s="16">
        <f t="shared" si="4"/>
        <v>2407</v>
      </c>
      <c r="D21">
        <f t="shared" ca="1" si="3"/>
        <v>67</v>
      </c>
      <c r="E21" t="s">
        <v>39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1"/>
      <c r="Q21" s="2"/>
      <c r="AC21">
        <v>2024</v>
      </c>
      <c r="AD21" s="4" t="s">
        <v>11</v>
      </c>
      <c r="AI21" t="s">
        <v>22</v>
      </c>
    </row>
    <row r="22" spans="2:35" x14ac:dyDescent="0.4">
      <c r="B22" t="s">
        <v>0</v>
      </c>
      <c r="AC22">
        <v>2022</v>
      </c>
      <c r="AD22" s="4" t="s">
        <v>13</v>
      </c>
      <c r="AI22" t="s">
        <v>23</v>
      </c>
    </row>
    <row r="23" spans="2:35" x14ac:dyDescent="0.4">
      <c r="R23" t="s">
        <v>37</v>
      </c>
      <c r="AC23">
        <v>2025</v>
      </c>
      <c r="AD23" s="4" t="s">
        <v>12</v>
      </c>
      <c r="AI23" t="s">
        <v>24</v>
      </c>
    </row>
    <row r="24" spans="2:35" x14ac:dyDescent="0.4">
      <c r="R24" t="s">
        <v>38</v>
      </c>
      <c r="AC24">
        <v>2022</v>
      </c>
      <c r="AD24" s="4" t="s">
        <v>25</v>
      </c>
      <c r="AI24" t="s">
        <v>26</v>
      </c>
    </row>
    <row r="25" spans="2:35" x14ac:dyDescent="0.4">
      <c r="AC25">
        <v>2025</v>
      </c>
      <c r="AD25" s="4" t="s">
        <v>27</v>
      </c>
      <c r="AI25" t="s">
        <v>20</v>
      </c>
    </row>
    <row r="26" spans="2:35" x14ac:dyDescent="0.4">
      <c r="B26" t="s">
        <v>40</v>
      </c>
      <c r="AD26" s="4" t="s">
        <v>28</v>
      </c>
      <c r="AI26" t="s">
        <v>29</v>
      </c>
    </row>
    <row r="27" spans="2:35" x14ac:dyDescent="0.4">
      <c r="B27" t="s">
        <v>41</v>
      </c>
    </row>
    <row r="30" spans="2:35" x14ac:dyDescent="0.4">
      <c r="D30">
        <v>2307</v>
      </c>
      <c r="E30">
        <v>2308</v>
      </c>
      <c r="F30">
        <v>2309</v>
      </c>
      <c r="G30">
        <v>2310</v>
      </c>
      <c r="H30">
        <v>2311</v>
      </c>
      <c r="I30">
        <v>2312</v>
      </c>
      <c r="J30">
        <v>2401</v>
      </c>
      <c r="K30">
        <v>2402</v>
      </c>
      <c r="L30">
        <v>2403</v>
      </c>
      <c r="M30">
        <v>2404</v>
      </c>
      <c r="N30">
        <v>2405</v>
      </c>
      <c r="O30">
        <v>2406</v>
      </c>
      <c r="P30">
        <v>2407</v>
      </c>
      <c r="Q30">
        <v>2408</v>
      </c>
      <c r="R30">
        <v>2409</v>
      </c>
      <c r="S30">
        <v>2410</v>
      </c>
      <c r="T30">
        <v>2411</v>
      </c>
      <c r="U30">
        <v>2412</v>
      </c>
      <c r="V30">
        <v>2501</v>
      </c>
      <c r="W30">
        <v>2502</v>
      </c>
      <c r="X30">
        <v>2503</v>
      </c>
      <c r="Y30">
        <v>2504</v>
      </c>
      <c r="Z30">
        <v>2505</v>
      </c>
      <c r="AA30">
        <v>2506</v>
      </c>
      <c r="AB30">
        <v>2507</v>
      </c>
      <c r="AC30">
        <v>2508</v>
      </c>
      <c r="AD30">
        <v>2509</v>
      </c>
      <c r="AE30">
        <v>2510</v>
      </c>
      <c r="AF30">
        <v>2511</v>
      </c>
      <c r="AG30">
        <v>2512</v>
      </c>
      <c r="AH30">
        <v>2601</v>
      </c>
    </row>
    <row r="31" spans="2:35" x14ac:dyDescent="0.4">
      <c r="C31">
        <v>2512</v>
      </c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1"/>
      <c r="AF31" s="2"/>
      <c r="AG31" s="2"/>
      <c r="AH31" s="2"/>
    </row>
    <row r="32" spans="2:35" x14ac:dyDescent="0.4">
      <c r="C32">
        <v>2511</v>
      </c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1"/>
      <c r="AE32" s="2"/>
      <c r="AF32" s="2"/>
      <c r="AG32" s="2"/>
    </row>
    <row r="33" spans="2:34" x14ac:dyDescent="0.4">
      <c r="C33">
        <f>+C32-1</f>
        <v>2510</v>
      </c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1"/>
      <c r="AD33" s="2"/>
      <c r="AE33" s="2"/>
      <c r="AF33" s="2"/>
    </row>
    <row r="34" spans="2:34" x14ac:dyDescent="0.4">
      <c r="B34" t="s">
        <v>4</v>
      </c>
    </row>
    <row r="37" spans="2:34" x14ac:dyDescent="0.4">
      <c r="D37">
        <v>2307</v>
      </c>
      <c r="E37">
        <v>2308</v>
      </c>
      <c r="F37">
        <v>2309</v>
      </c>
      <c r="G37">
        <v>2310</v>
      </c>
      <c r="H37">
        <v>2311</v>
      </c>
      <c r="I37">
        <v>2312</v>
      </c>
      <c r="J37">
        <v>2401</v>
      </c>
      <c r="K37">
        <v>2402</v>
      </c>
      <c r="L37">
        <v>2403</v>
      </c>
      <c r="M37">
        <v>2404</v>
      </c>
      <c r="N37">
        <v>2405</v>
      </c>
      <c r="O37">
        <v>2406</v>
      </c>
      <c r="P37">
        <v>2407</v>
      </c>
      <c r="Q37">
        <v>2408</v>
      </c>
      <c r="R37">
        <v>2409</v>
      </c>
      <c r="S37">
        <v>2410</v>
      </c>
      <c r="T37">
        <v>2411</v>
      </c>
      <c r="U37">
        <v>2412</v>
      </c>
      <c r="V37">
        <v>2501</v>
      </c>
      <c r="W37">
        <v>2502</v>
      </c>
      <c r="X37">
        <v>2503</v>
      </c>
      <c r="Y37">
        <v>2504</v>
      </c>
      <c r="Z37">
        <v>2505</v>
      </c>
      <c r="AA37">
        <v>2506</v>
      </c>
      <c r="AB37">
        <v>2507</v>
      </c>
      <c r="AC37">
        <v>2508</v>
      </c>
      <c r="AD37">
        <v>2509</v>
      </c>
      <c r="AE37">
        <v>2510</v>
      </c>
      <c r="AF37">
        <v>2511</v>
      </c>
      <c r="AG37">
        <v>2512</v>
      </c>
      <c r="AH37">
        <v>2601</v>
      </c>
    </row>
    <row r="38" spans="2:34" x14ac:dyDescent="0.4">
      <c r="C38">
        <v>2512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1"/>
      <c r="AC38" s="2"/>
      <c r="AD38" s="2"/>
      <c r="AE38" s="2"/>
      <c r="AF38" s="2"/>
      <c r="AG38" s="2"/>
      <c r="AH38" s="2"/>
    </row>
    <row r="39" spans="2:34" x14ac:dyDescent="0.4">
      <c r="C39">
        <v>2511</v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1"/>
      <c r="AB39" s="2"/>
      <c r="AC39" s="2"/>
      <c r="AD39" s="2"/>
      <c r="AE39" s="2"/>
      <c r="AF39" s="2"/>
      <c r="AG39" s="2"/>
    </row>
    <row r="40" spans="2:34" x14ac:dyDescent="0.4">
      <c r="C40">
        <f>+C39-1</f>
        <v>2510</v>
      </c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1"/>
      <c r="AA40" s="2"/>
      <c r="AB40" s="2"/>
      <c r="AC40" s="2"/>
      <c r="AD40" s="2"/>
      <c r="AE40" s="2"/>
      <c r="AF40" s="2"/>
    </row>
    <row r="41" spans="2:34" x14ac:dyDescent="0.4">
      <c r="B41" t="s">
        <v>5</v>
      </c>
    </row>
    <row r="44" spans="2:34" x14ac:dyDescent="0.4">
      <c r="D44">
        <v>2307</v>
      </c>
      <c r="E44">
        <v>2308</v>
      </c>
      <c r="F44">
        <v>2309</v>
      </c>
      <c r="G44">
        <v>2310</v>
      </c>
      <c r="H44">
        <v>2311</v>
      </c>
      <c r="I44">
        <v>2312</v>
      </c>
      <c r="J44">
        <v>2401</v>
      </c>
      <c r="K44">
        <v>2402</v>
      </c>
      <c r="L44">
        <v>2403</v>
      </c>
      <c r="M44">
        <v>2404</v>
      </c>
      <c r="N44">
        <v>2405</v>
      </c>
      <c r="O44">
        <v>2406</v>
      </c>
      <c r="P44">
        <v>2407</v>
      </c>
      <c r="Q44">
        <v>2408</v>
      </c>
      <c r="R44">
        <v>2409</v>
      </c>
      <c r="S44">
        <v>2410</v>
      </c>
      <c r="T44">
        <v>2411</v>
      </c>
      <c r="U44">
        <v>2412</v>
      </c>
      <c r="V44">
        <v>2501</v>
      </c>
      <c r="W44">
        <v>2502</v>
      </c>
      <c r="X44">
        <v>2503</v>
      </c>
      <c r="Y44">
        <v>2504</v>
      </c>
      <c r="Z44">
        <v>2505</v>
      </c>
      <c r="AA44">
        <v>2506</v>
      </c>
      <c r="AB44">
        <v>2507</v>
      </c>
      <c r="AC44">
        <v>2508</v>
      </c>
      <c r="AD44">
        <v>2509</v>
      </c>
      <c r="AE44">
        <v>2510</v>
      </c>
      <c r="AF44">
        <v>2511</v>
      </c>
      <c r="AG44">
        <v>2512</v>
      </c>
      <c r="AH44">
        <v>2601</v>
      </c>
    </row>
    <row r="45" spans="2:34" x14ac:dyDescent="0.4">
      <c r="C45">
        <v>2512</v>
      </c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1"/>
      <c r="Y45" s="2"/>
      <c r="Z45" s="2"/>
      <c r="AA45" s="2"/>
      <c r="AB45" s="2"/>
      <c r="AC45" s="2"/>
      <c r="AD45" s="2"/>
      <c r="AE45" s="2"/>
      <c r="AF45" s="2"/>
      <c r="AG45" s="2"/>
      <c r="AH45" s="2"/>
    </row>
    <row r="46" spans="2:34" x14ac:dyDescent="0.4">
      <c r="C46">
        <v>2511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1"/>
      <c r="X46" s="2"/>
      <c r="Y46" s="2"/>
      <c r="Z46" s="2"/>
      <c r="AA46" s="2"/>
      <c r="AB46" s="2"/>
      <c r="AC46" s="2"/>
      <c r="AD46" s="2"/>
      <c r="AE46" s="2"/>
      <c r="AF46" s="2"/>
      <c r="AG46" s="2"/>
    </row>
    <row r="47" spans="2:34" x14ac:dyDescent="0.4">
      <c r="C47">
        <f>+C46-1</f>
        <v>2510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1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2:34" x14ac:dyDescent="0.4">
      <c r="B48" t="s">
        <v>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e202010333 (Rodriguez Mallqui, Jordan King)</dc:creator>
  <cp:lastModifiedBy>e202010333 (Rodriguez Mallqui, Jordan King)</cp:lastModifiedBy>
  <dcterms:created xsi:type="dcterms:W3CDTF">2025-12-07T14:18:28Z</dcterms:created>
  <dcterms:modified xsi:type="dcterms:W3CDTF">2025-12-08T00:27:37Z</dcterms:modified>
</cp:coreProperties>
</file>